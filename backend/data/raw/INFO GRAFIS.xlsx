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Eko\Desktop\AGUSTUS 2026\"/>
    </mc:Choice>
  </mc:AlternateContent>
  <xr:revisionPtr revIDLastSave="0" documentId="13_ncr:1_{A6BFCD53-7E59-4AA4-B21A-FABF3DF11C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N" sheetId="1" r:id="rId1"/>
    <sheet name="PNS" sheetId="2" r:id="rId2"/>
    <sheet name="PPPK full" sheetId="3" r:id="rId3"/>
    <sheet name="PPPK PW" sheetId="5" r:id="rId4"/>
    <sheet name="BKD JATIM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N10" i="1"/>
  <c r="E8" i="5"/>
  <c r="K6" i="5"/>
  <c r="H7" i="5"/>
  <c r="N5" i="5"/>
  <c r="B4" i="5"/>
  <c r="H7" i="3"/>
  <c r="N8" i="2"/>
  <c r="K5" i="1"/>
  <c r="H14" i="4"/>
  <c r="H26" i="4"/>
  <c r="E4" i="1"/>
  <c r="E16" i="4"/>
  <c r="N7" i="3"/>
  <c r="K8" i="3"/>
  <c r="E8" i="3"/>
  <c r="H8" i="1"/>
  <c r="B12" i="1"/>
  <c r="E6" i="4"/>
  <c r="E21" i="4"/>
  <c r="B23" i="4"/>
  <c r="B13" i="4"/>
  <c r="B4" i="4"/>
  <c r="T6" i="2"/>
  <c r="Q5" i="1" l="1"/>
  <c r="Q5" i="3"/>
  <c r="Q5" i="2" l="1"/>
  <c r="B4" i="3" l="1"/>
  <c r="K10" i="2" l="1"/>
  <c r="H6" i="2"/>
  <c r="E12" i="2"/>
  <c r="B4" i="2"/>
</calcChain>
</file>

<file path=xl/sharedStrings.xml><?xml version="1.0" encoding="utf-8"?>
<sst xmlns="http://schemas.openxmlformats.org/spreadsheetml/2006/main" count="220" uniqueCount="89">
  <si>
    <t>Row Labels</t>
  </si>
  <si>
    <t>Count of nip</t>
  </si>
  <si>
    <t>L</t>
  </si>
  <si>
    <t>P</t>
  </si>
  <si>
    <t>Grand Total</t>
  </si>
  <si>
    <t>D-I</t>
  </si>
  <si>
    <t>D-II</t>
  </si>
  <si>
    <t>D-III</t>
  </si>
  <si>
    <t>D-IV</t>
  </si>
  <si>
    <t>S-1</t>
  </si>
  <si>
    <t>S-2</t>
  </si>
  <si>
    <t>S-3</t>
  </si>
  <si>
    <t>SD</t>
  </si>
  <si>
    <t>SLTA</t>
  </si>
  <si>
    <t>SLTP</t>
  </si>
  <si>
    <t>I</t>
  </si>
  <si>
    <t>II</t>
  </si>
  <si>
    <t>III</t>
  </si>
  <si>
    <t>IV</t>
  </si>
  <si>
    <t>GOLONGAN</t>
  </si>
  <si>
    <t>20 - 29</t>
  </si>
  <si>
    <t>30 - 39</t>
  </si>
  <si>
    <t>40 - 49</t>
  </si>
  <si>
    <t>50 - 55</t>
  </si>
  <si>
    <t>55 &gt;</t>
  </si>
  <si>
    <t>total</t>
  </si>
  <si>
    <t>JPT</t>
  </si>
  <si>
    <t>ADMINISTRATOR</t>
  </si>
  <si>
    <t>PENGAWAS</t>
  </si>
  <si>
    <t>PELAKSANA</t>
  </si>
  <si>
    <t>JF GURU</t>
  </si>
  <si>
    <t>JF MEDIS</t>
  </si>
  <si>
    <t>JF PARAMEDIS</t>
  </si>
  <si>
    <t>JENIS JABATAN</t>
  </si>
  <si>
    <t>UMUR</t>
  </si>
  <si>
    <t>TOTAL</t>
  </si>
  <si>
    <t>XI</t>
  </si>
  <si>
    <t>X</t>
  </si>
  <si>
    <t>IX</t>
  </si>
  <si>
    <t>VII</t>
  </si>
  <si>
    <t>V</t>
  </si>
  <si>
    <t>PNS</t>
  </si>
  <si>
    <t>Baby Boomers: Kelahiran tahun 1946–1964</t>
  </si>
  <si>
    <t>X: Kelahiran tahun 1965–1980</t>
  </si>
  <si>
    <t>Milenial: Kelahiran tahun 1981–1996</t>
  </si>
  <si>
    <t>Z: Kelahiran tahun 1997–2012</t>
  </si>
  <si>
    <t>MASA KERJA</t>
  </si>
  <si>
    <t>0-10</t>
  </si>
  <si>
    <t>11-20</t>
  </si>
  <si>
    <t>21-30</t>
  </si>
  <si>
    <t>&gt;30</t>
  </si>
  <si>
    <t>ESELON</t>
  </si>
  <si>
    <t>II.a</t>
  </si>
  <si>
    <t>III.a</t>
  </si>
  <si>
    <t>IV.a</t>
  </si>
  <si>
    <t>LAKI</t>
  </si>
  <si>
    <t>PEREMPUAN</t>
  </si>
  <si>
    <t>STRUKTURAL</t>
  </si>
  <si>
    <t>FUNGSIONAL</t>
  </si>
  <si>
    <t>S2</t>
  </si>
  <si>
    <t>S1</t>
  </si>
  <si>
    <t>DIV</t>
  </si>
  <si>
    <t>DIII</t>
  </si>
  <si>
    <t>GOL PNS</t>
  </si>
  <si>
    <t>AGAMA ASN</t>
  </si>
  <si>
    <t>JENJANG JABATAN
FUNGSIONAL ASN</t>
  </si>
  <si>
    <t>JK ASN</t>
  </si>
  <si>
    <t>JABATAN ASN</t>
  </si>
  <si>
    <t>PENDIDIKAN ASN</t>
  </si>
  <si>
    <t xml:space="preserve">ISLAM </t>
  </si>
  <si>
    <t>KHATOLIK</t>
  </si>
  <si>
    <t>KRISTEN</t>
  </si>
  <si>
    <t>HINDU</t>
  </si>
  <si>
    <t>AHLI UTAMA</t>
  </si>
  <si>
    <t>AHLI MADYA</t>
  </si>
  <si>
    <t>AHLI MUDA</t>
  </si>
  <si>
    <t>AHLI PERTAMA</t>
  </si>
  <si>
    <t>MAHIR</t>
  </si>
  <si>
    <t>TERAMPIL</t>
  </si>
  <si>
    <t>PEMULA</t>
  </si>
  <si>
    <t>III.b</t>
  </si>
  <si>
    <t>JF TEKNIS</t>
  </si>
  <si>
    <t>&lt; 20</t>
  </si>
  <si>
    <t>CPNS</t>
  </si>
  <si>
    <t>CPNS PNS</t>
  </si>
  <si>
    <t>PPPK PW</t>
  </si>
  <si>
    <t>PPPK FULL</t>
  </si>
  <si>
    <t>PPPK full</t>
  </si>
  <si>
    <t>GOL PPPK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</si>
</sst>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10"/>
      <color rgb="FFFFFFFF"/>
      <name val="Arial"/>
      <family val="2"/>
    </font>
    <font>
      <sz val="11"/>
      <color theme="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49" fontId="0" fillId="0" borderId="0" xfId="0" applyNumberFormat="1"/>
    <xf numFmtId="49" fontId="0" fillId="0" borderId="1" xfId="0" applyNumberFormat="1" applyBorder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/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2" fillId="4" borderId="0" xfId="0" applyFont="1" applyFill="1"/>
    <xf numFmtId="0" fontId="0" fillId="0" borderId="2" xfId="0" applyBorder="1"/>
    <xf numFmtId="0" fontId="0" fillId="4" borderId="0" xfId="0" applyFill="1"/>
    <xf numFmtId="0" fontId="0" fillId="4" borderId="1" xfId="0" applyFill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activeCell="H22" sqref="H22"/>
    </sheetView>
  </sheetViews>
  <sheetFormatPr defaultRowHeight="15" x14ac:dyDescent="0.25"/>
  <cols>
    <col min="1" max="1" width="11" customWidth="1"/>
    <col min="2" max="2" width="11.85546875" bestFit="1" customWidth="1"/>
    <col min="4" max="4" width="10.5703125" bestFit="1" customWidth="1"/>
    <col min="7" max="7" width="6.7109375" bestFit="1" customWidth="1"/>
    <col min="10" max="10" width="13.7109375" bestFit="1" customWidth="1"/>
    <col min="13" max="13" width="16" bestFit="1" customWidth="1"/>
    <col min="16" max="16" width="39" bestFit="1" customWidth="1"/>
  </cols>
  <sheetData>
    <row r="1" spans="1:19" x14ac:dyDescent="0.25">
      <c r="A1" s="1" t="s">
        <v>0</v>
      </c>
      <c r="B1" s="1" t="s">
        <v>1</v>
      </c>
      <c r="D1" s="1" t="s">
        <v>0</v>
      </c>
      <c r="E1" s="1" t="s">
        <v>35</v>
      </c>
      <c r="G1" s="1" t="s">
        <v>34</v>
      </c>
      <c r="H1" s="1" t="s">
        <v>35</v>
      </c>
      <c r="J1" s="1" t="s">
        <v>83</v>
      </c>
      <c r="K1" s="1">
        <v>9</v>
      </c>
      <c r="M1" s="1" t="s">
        <v>33</v>
      </c>
      <c r="N1" s="1" t="s">
        <v>35</v>
      </c>
      <c r="P1" s="1" t="s">
        <v>42</v>
      </c>
      <c r="Q1" s="1">
        <v>137</v>
      </c>
    </row>
    <row r="2" spans="1:19" x14ac:dyDescent="0.25">
      <c r="A2" s="1" t="s">
        <v>11</v>
      </c>
      <c r="B2" s="1">
        <v>297</v>
      </c>
      <c r="D2" s="1" t="s">
        <v>2</v>
      </c>
      <c r="E2" s="1">
        <v>40182</v>
      </c>
      <c r="G2" s="2" t="s">
        <v>82</v>
      </c>
      <c r="H2" s="1">
        <v>0</v>
      </c>
      <c r="J2" s="1" t="s">
        <v>41</v>
      </c>
      <c r="K2" s="1">
        <v>35735</v>
      </c>
      <c r="M2" s="1" t="s">
        <v>26</v>
      </c>
      <c r="N2" s="1">
        <v>62</v>
      </c>
      <c r="P2" s="1" t="s">
        <v>43</v>
      </c>
      <c r="Q2" s="1">
        <v>29842</v>
      </c>
    </row>
    <row r="3" spans="1:19" x14ac:dyDescent="0.25">
      <c r="A3" s="1" t="s">
        <v>10</v>
      </c>
      <c r="B3" s="1">
        <v>7854</v>
      </c>
      <c r="D3" s="1" t="s">
        <v>3</v>
      </c>
      <c r="E3" s="1">
        <v>40095</v>
      </c>
      <c r="G3" s="2" t="s">
        <v>20</v>
      </c>
      <c r="H3" s="1">
        <v>7203</v>
      </c>
      <c r="J3" s="1" t="s">
        <v>87</v>
      </c>
      <c r="K3" s="1">
        <v>23310</v>
      </c>
      <c r="M3" s="1" t="s">
        <v>27</v>
      </c>
      <c r="N3" s="1">
        <v>460</v>
      </c>
      <c r="P3" s="1" t="s">
        <v>44</v>
      </c>
      <c r="Q3" s="1">
        <v>43983</v>
      </c>
    </row>
    <row r="4" spans="1:19" x14ac:dyDescent="0.25">
      <c r="A4" s="1" t="s">
        <v>9</v>
      </c>
      <c r="B4" s="1">
        <v>50483</v>
      </c>
      <c r="D4" s="3" t="s">
        <v>4</v>
      </c>
      <c r="E4" s="3">
        <f>SUM(E2:E3)</f>
        <v>80277</v>
      </c>
      <c r="G4" s="2" t="s">
        <v>21</v>
      </c>
      <c r="H4" s="1">
        <v>27993</v>
      </c>
      <c r="J4" s="1" t="s">
        <v>85</v>
      </c>
      <c r="K4" s="1">
        <v>21223</v>
      </c>
      <c r="M4" s="1" t="s">
        <v>28</v>
      </c>
      <c r="N4" s="1">
        <v>827</v>
      </c>
      <c r="P4" s="1" t="s">
        <v>45</v>
      </c>
      <c r="Q4" s="1">
        <v>6315</v>
      </c>
    </row>
    <row r="5" spans="1:19" x14ac:dyDescent="0.25">
      <c r="A5" s="1" t="s">
        <v>8</v>
      </c>
      <c r="B5" s="1">
        <v>968</v>
      </c>
      <c r="G5" s="2" t="s">
        <v>22</v>
      </c>
      <c r="H5" s="1">
        <v>24453</v>
      </c>
      <c r="J5" s="3"/>
      <c r="K5" s="3">
        <f>SUM(K1:K4)</f>
        <v>80277</v>
      </c>
      <c r="M5" s="1" t="s">
        <v>29</v>
      </c>
      <c r="N5" s="1">
        <v>25607</v>
      </c>
      <c r="P5" s="3"/>
      <c r="Q5" s="3">
        <f>SUM(Q1:Q4)</f>
        <v>80277</v>
      </c>
    </row>
    <row r="6" spans="1:19" x14ac:dyDescent="0.25">
      <c r="A6" s="1" t="s">
        <v>7</v>
      </c>
      <c r="B6" s="1">
        <v>6743</v>
      </c>
      <c r="G6" s="2" t="s">
        <v>23</v>
      </c>
      <c r="H6" s="1">
        <v>12317</v>
      </c>
      <c r="M6" s="1" t="s">
        <v>30</v>
      </c>
      <c r="N6" s="1">
        <v>40089</v>
      </c>
    </row>
    <row r="7" spans="1:19" x14ac:dyDescent="0.25">
      <c r="A7" s="1" t="s">
        <v>6</v>
      </c>
      <c r="B7" s="1">
        <v>35</v>
      </c>
      <c r="D7" s="1"/>
      <c r="E7" s="1"/>
      <c r="G7" s="2" t="s">
        <v>24</v>
      </c>
      <c r="H7" s="1">
        <v>8311</v>
      </c>
      <c r="M7" s="1" t="s">
        <v>31</v>
      </c>
      <c r="N7" s="1">
        <v>1043</v>
      </c>
    </row>
    <row r="8" spans="1:19" x14ac:dyDescent="0.25">
      <c r="A8" s="1" t="s">
        <v>5</v>
      </c>
      <c r="B8" s="1">
        <v>27</v>
      </c>
      <c r="D8" s="1"/>
      <c r="E8" s="1"/>
      <c r="G8" s="3" t="s">
        <v>25</v>
      </c>
      <c r="H8" s="3">
        <f>SUM(H3:H7)</f>
        <v>80277</v>
      </c>
      <c r="M8" s="1" t="s">
        <v>32</v>
      </c>
      <c r="N8" s="1">
        <v>7620</v>
      </c>
      <c r="P8" s="1"/>
      <c r="Q8" s="1"/>
      <c r="R8" s="1"/>
      <c r="S8" s="1"/>
    </row>
    <row r="9" spans="1:19" x14ac:dyDescent="0.25">
      <c r="A9" s="1" t="s">
        <v>13</v>
      </c>
      <c r="B9" s="1">
        <v>12987</v>
      </c>
      <c r="D9" s="1"/>
      <c r="E9" s="1"/>
      <c r="M9" s="1" t="s">
        <v>81</v>
      </c>
      <c r="N9" s="1">
        <v>4569</v>
      </c>
      <c r="P9" s="1"/>
      <c r="Q9" s="1"/>
      <c r="R9" s="1"/>
      <c r="S9" s="1"/>
    </row>
    <row r="10" spans="1:19" x14ac:dyDescent="0.25">
      <c r="A10" s="1" t="s">
        <v>14</v>
      </c>
      <c r="B10" s="1">
        <v>162</v>
      </c>
      <c r="D10" s="1"/>
      <c r="E10" s="1"/>
      <c r="F10" s="14"/>
      <c r="G10" s="11"/>
      <c r="H10" s="10"/>
      <c r="I10" s="10"/>
      <c r="J10" s="11"/>
      <c r="K10" s="10"/>
      <c r="M10" s="3" t="s">
        <v>4</v>
      </c>
      <c r="N10" s="3">
        <f>SUM(N2:N9)</f>
        <v>80277</v>
      </c>
      <c r="P10" s="1"/>
      <c r="Q10" s="1"/>
      <c r="R10" s="1"/>
      <c r="S10" s="1"/>
    </row>
    <row r="11" spans="1:19" x14ac:dyDescent="0.25">
      <c r="A11" s="1" t="s">
        <v>12</v>
      </c>
      <c r="B11" s="1">
        <v>721</v>
      </c>
      <c r="D11" s="1"/>
      <c r="E11" s="1"/>
      <c r="F11" s="16"/>
      <c r="G11" s="17"/>
      <c r="H11" s="18"/>
      <c r="I11" s="18"/>
      <c r="J11" s="17"/>
      <c r="K11" s="16"/>
      <c r="L11" s="16"/>
      <c r="P11" s="1"/>
      <c r="Q11" s="1"/>
      <c r="R11" s="1"/>
      <c r="S11" s="1"/>
    </row>
    <row r="12" spans="1:19" x14ac:dyDescent="0.25">
      <c r="A12" s="3" t="s">
        <v>4</v>
      </c>
      <c r="B12" s="3">
        <f>SUM(B2:B11)</f>
        <v>80277</v>
      </c>
      <c r="D12" s="1"/>
      <c r="E12" s="1"/>
      <c r="F12" s="16"/>
      <c r="G12" s="19"/>
      <c r="H12" s="1"/>
      <c r="I12" s="18"/>
      <c r="J12" s="17"/>
      <c r="K12" s="16"/>
      <c r="L12" s="16"/>
      <c r="M12" s="1"/>
      <c r="P12" s="1"/>
      <c r="Q12" s="1"/>
      <c r="R12" s="1"/>
      <c r="S12" s="1"/>
    </row>
    <row r="13" spans="1:19" x14ac:dyDescent="0.25">
      <c r="D13" s="1"/>
      <c r="E13" s="15"/>
      <c r="F13" s="1"/>
      <c r="G13" s="19"/>
      <c r="H13" s="1"/>
      <c r="I13" s="1"/>
      <c r="J13" s="19"/>
      <c r="K13" s="1"/>
      <c r="L13" s="1"/>
      <c r="M13" s="19"/>
      <c r="N13" s="1"/>
      <c r="P13" s="1"/>
      <c r="Q13" s="1"/>
      <c r="S13" s="1"/>
    </row>
    <row r="14" spans="1:19" x14ac:dyDescent="0.25">
      <c r="D14" s="1"/>
      <c r="E14" s="1"/>
      <c r="F14" s="1"/>
      <c r="G14" s="19"/>
      <c r="H14" s="1"/>
      <c r="I14" s="1"/>
      <c r="J14" s="1"/>
      <c r="K14" s="1"/>
      <c r="L14" s="1"/>
      <c r="M14" s="19"/>
      <c r="N14" s="1"/>
      <c r="P14" s="1"/>
      <c r="Q14" s="1"/>
      <c r="S14" s="1"/>
    </row>
    <row r="15" spans="1:19" x14ac:dyDescent="0.25">
      <c r="A15" s="1"/>
      <c r="B15" s="1"/>
      <c r="D15" s="1"/>
      <c r="E15" s="1"/>
      <c r="F15" s="1"/>
      <c r="G15" s="19"/>
      <c r="H15" s="1"/>
      <c r="I15" s="1"/>
      <c r="J15" s="1"/>
      <c r="K15" s="1"/>
      <c r="L15" s="1"/>
      <c r="M15" s="19"/>
      <c r="N15" s="1"/>
      <c r="P15" s="1"/>
      <c r="Q15" s="1"/>
      <c r="S15" s="1"/>
    </row>
    <row r="16" spans="1:19" x14ac:dyDescent="0.25">
      <c r="A16" s="1"/>
      <c r="B16" s="1"/>
      <c r="C16" s="1"/>
      <c r="D16" s="1"/>
      <c r="E16" s="1"/>
      <c r="F16" s="1"/>
      <c r="G16" s="19"/>
      <c r="H16" s="1"/>
      <c r="I16" s="1"/>
      <c r="J16" s="1"/>
      <c r="K16" s="1"/>
      <c r="L16" s="1"/>
      <c r="M16" s="1"/>
      <c r="N16" s="1"/>
      <c r="P16" s="1"/>
      <c r="Q16" s="1"/>
      <c r="S16" s="1"/>
    </row>
    <row r="17" spans="1:19" x14ac:dyDescent="0.25">
      <c r="A17" s="1"/>
      <c r="B17" s="1"/>
      <c r="C17" s="1"/>
      <c r="D17" s="1"/>
      <c r="F17" s="1"/>
      <c r="G17" s="19"/>
      <c r="H17" s="1"/>
      <c r="I17" s="1"/>
      <c r="J17" s="1"/>
      <c r="K17" s="1"/>
      <c r="L17" s="1"/>
      <c r="M17" s="1"/>
      <c r="N17" s="1"/>
      <c r="P17" s="1"/>
      <c r="R17" s="1"/>
      <c r="S17" s="1"/>
    </row>
    <row r="18" spans="1:19" x14ac:dyDescent="0.25">
      <c r="A18" s="1"/>
      <c r="B18" s="1"/>
      <c r="C18" s="1"/>
      <c r="D18" s="1"/>
      <c r="F18" s="19"/>
      <c r="G18" s="19"/>
      <c r="H18" s="1"/>
      <c r="I18" s="1"/>
      <c r="J18" s="1"/>
      <c r="K18" s="1"/>
      <c r="L18" s="1"/>
      <c r="M18" s="1"/>
      <c r="N18" s="1"/>
      <c r="P18" s="1"/>
      <c r="R18" s="1"/>
      <c r="S18" s="1"/>
    </row>
    <row r="19" spans="1:19" x14ac:dyDescent="0.25">
      <c r="A19" s="1"/>
      <c r="B19" s="1"/>
      <c r="C19" s="1"/>
      <c r="D19" s="1"/>
      <c r="F19" s="19"/>
      <c r="G19" s="1"/>
      <c r="I19" s="1"/>
      <c r="J19" s="1"/>
      <c r="K19" s="1"/>
      <c r="L19" s="1"/>
      <c r="M19" s="1"/>
      <c r="N19" s="1"/>
      <c r="P19" s="1"/>
      <c r="S19" s="1"/>
    </row>
    <row r="20" spans="1:19" x14ac:dyDescent="0.25">
      <c r="A20" s="1"/>
      <c r="B20" s="1"/>
      <c r="C20" s="1"/>
      <c r="D20" s="1"/>
      <c r="F20" s="1"/>
      <c r="G20" s="1"/>
      <c r="I20" s="1"/>
      <c r="J20" s="1"/>
      <c r="K20" s="1"/>
      <c r="L20" s="1"/>
      <c r="M20" s="1"/>
      <c r="P20" s="1"/>
    </row>
    <row r="21" spans="1:19" x14ac:dyDescent="0.25">
      <c r="A21" s="1"/>
      <c r="B21" s="1"/>
      <c r="C21" s="1"/>
      <c r="D21" s="1"/>
      <c r="F21" s="1"/>
      <c r="G21" s="1"/>
      <c r="H21" s="1"/>
      <c r="I21" s="1"/>
      <c r="J21" s="1"/>
      <c r="K21" s="1"/>
      <c r="L21" s="1"/>
      <c r="M21" s="1"/>
      <c r="O21" s="1"/>
      <c r="P21" s="1"/>
    </row>
    <row r="22" spans="1:19" x14ac:dyDescent="0.25">
      <c r="A22" s="1"/>
      <c r="B22" s="1"/>
      <c r="C22" s="1"/>
      <c r="D22" s="1"/>
      <c r="F22" s="10"/>
      <c r="G22" s="11"/>
      <c r="H22" s="14"/>
      <c r="I22" s="10"/>
      <c r="J22" s="1"/>
      <c r="K22" s="1"/>
      <c r="L22" s="1"/>
      <c r="M22" s="1"/>
      <c r="O22" s="1"/>
      <c r="P22" s="1"/>
    </row>
    <row r="23" spans="1:19" x14ac:dyDescent="0.25">
      <c r="A23" s="1"/>
      <c r="B23" s="1"/>
      <c r="C23" s="1"/>
      <c r="D23" s="1"/>
      <c r="F23" s="12"/>
      <c r="G23" s="11"/>
      <c r="H23" s="14"/>
      <c r="I23" s="12"/>
      <c r="J23" s="1"/>
      <c r="K23" s="1"/>
      <c r="L23" s="1"/>
      <c r="M23" s="1"/>
    </row>
    <row r="24" spans="1:19" x14ac:dyDescent="0.25">
      <c r="A24" s="1"/>
      <c r="B24" s="1"/>
      <c r="C24" s="1"/>
      <c r="D24" s="1"/>
      <c r="F24" s="12"/>
      <c r="G24" s="12"/>
      <c r="H24" s="12"/>
      <c r="I24" s="12"/>
      <c r="J24" s="1"/>
      <c r="K24" s="1"/>
      <c r="L24" s="1"/>
      <c r="M24" s="1"/>
    </row>
    <row r="25" spans="1:19" x14ac:dyDescent="0.25">
      <c r="A25" s="1"/>
      <c r="B25" s="1"/>
      <c r="C25" s="1"/>
      <c r="D25" s="1"/>
      <c r="F25" s="14"/>
      <c r="G25" s="11"/>
      <c r="H25" s="14"/>
      <c r="I25" s="14"/>
      <c r="J25" s="1"/>
      <c r="M25" s="1"/>
    </row>
    <row r="26" spans="1:19" x14ac:dyDescent="0.25">
      <c r="A26" s="1"/>
      <c r="B26" s="1"/>
      <c r="C26" s="1"/>
      <c r="D26" s="1"/>
      <c r="E26" s="10"/>
      <c r="F26" s="14"/>
      <c r="G26" s="11"/>
      <c r="H26" s="14"/>
      <c r="I26" s="14"/>
      <c r="J26" s="1"/>
      <c r="M26" s="1"/>
    </row>
    <row r="27" spans="1:19" x14ac:dyDescent="0.25">
      <c r="C27" s="1"/>
      <c r="F27" s="14"/>
      <c r="G27" s="11"/>
      <c r="H27" s="14"/>
      <c r="I27" s="14"/>
      <c r="J27" s="14"/>
      <c r="K27" s="14"/>
      <c r="M27" s="1"/>
    </row>
    <row r="28" spans="1:19" x14ac:dyDescent="0.25">
      <c r="C28" s="1"/>
      <c r="F28" s="14"/>
      <c r="G28" s="11"/>
      <c r="H28" s="14"/>
      <c r="I28" s="14"/>
      <c r="J28" s="1"/>
      <c r="M28" s="1"/>
    </row>
    <row r="29" spans="1:19" x14ac:dyDescent="0.25">
      <c r="C29" s="1"/>
      <c r="F29" s="14"/>
      <c r="G29" s="11"/>
      <c r="H29" s="14"/>
      <c r="I29" s="14"/>
      <c r="J29" s="1"/>
      <c r="M29" s="1"/>
    </row>
    <row r="30" spans="1:19" x14ac:dyDescent="0.25">
      <c r="E30" s="1"/>
      <c r="F30" s="1"/>
      <c r="J30" s="1"/>
      <c r="M30" s="1"/>
    </row>
    <row r="31" spans="1:19" x14ac:dyDescent="0.25">
      <c r="E31" s="1"/>
      <c r="F31" s="1"/>
      <c r="J31" s="1"/>
      <c r="M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"/>
  <sheetViews>
    <sheetView workbookViewId="0">
      <selection activeCell="T6" sqref="T6"/>
    </sheetView>
  </sheetViews>
  <sheetFormatPr defaultRowHeight="15" x14ac:dyDescent="0.25"/>
  <cols>
    <col min="1" max="1" width="11.140625" bestFit="1" customWidth="1"/>
    <col min="2" max="2" width="11.85546875" bestFit="1" customWidth="1"/>
    <col min="4" max="4" width="10.7109375" bestFit="1" customWidth="1"/>
    <col min="5" max="5" width="11.85546875" bestFit="1" customWidth="1"/>
    <col min="7" max="7" width="11.42578125" bestFit="1" customWidth="1"/>
    <col min="8" max="8" width="11.85546875" bestFit="1" customWidth="1"/>
    <col min="10" max="10" width="16" bestFit="1" customWidth="1"/>
    <col min="11" max="11" width="11.85546875" bestFit="1" customWidth="1"/>
    <col min="13" max="13" width="8.85546875" customWidth="1"/>
    <col min="14" max="14" width="9.140625" customWidth="1"/>
    <col min="16" max="16" width="39" bestFit="1" customWidth="1"/>
    <col min="19" max="19" width="12" style="4" bestFit="1" customWidth="1"/>
  </cols>
  <sheetData>
    <row r="1" spans="1:20" x14ac:dyDescent="0.25">
      <c r="A1" s="1" t="s">
        <v>0</v>
      </c>
      <c r="B1" s="1" t="s">
        <v>1</v>
      </c>
      <c r="D1" s="1" t="s">
        <v>0</v>
      </c>
      <c r="E1" s="1" t="s">
        <v>1</v>
      </c>
      <c r="G1" s="1" t="s">
        <v>19</v>
      </c>
      <c r="H1" s="1" t="s">
        <v>1</v>
      </c>
      <c r="J1" s="1" t="s">
        <v>33</v>
      </c>
      <c r="K1" s="1" t="s">
        <v>1</v>
      </c>
      <c r="M1" s="1" t="s">
        <v>34</v>
      </c>
      <c r="N1" s="1" t="s">
        <v>35</v>
      </c>
      <c r="P1" s="1" t="s">
        <v>42</v>
      </c>
      <c r="Q1" s="1">
        <v>137</v>
      </c>
      <c r="S1" s="5" t="s">
        <v>46</v>
      </c>
      <c r="T1" s="1"/>
    </row>
    <row r="2" spans="1:20" x14ac:dyDescent="0.25">
      <c r="A2" s="1" t="s">
        <v>2</v>
      </c>
      <c r="B2" s="1">
        <v>16564</v>
      </c>
      <c r="D2" s="1" t="s">
        <v>11</v>
      </c>
      <c r="E2" s="1">
        <v>297</v>
      </c>
      <c r="G2" s="1" t="s">
        <v>18</v>
      </c>
      <c r="H2" s="1">
        <v>9690</v>
      </c>
      <c r="J2" s="1" t="s">
        <v>26</v>
      </c>
      <c r="K2" s="1">
        <v>62</v>
      </c>
      <c r="M2" s="2" t="s">
        <v>82</v>
      </c>
      <c r="N2" s="1">
        <v>0</v>
      </c>
      <c r="P2" s="1" t="s">
        <v>43</v>
      </c>
      <c r="Q2" s="1">
        <v>22031</v>
      </c>
      <c r="S2" s="5" t="s">
        <v>47</v>
      </c>
      <c r="T2" s="1">
        <v>9833</v>
      </c>
    </row>
    <row r="3" spans="1:20" x14ac:dyDescent="0.25">
      <c r="A3" s="1" t="s">
        <v>3</v>
      </c>
      <c r="B3" s="1">
        <v>19180</v>
      </c>
      <c r="D3" s="1" t="s">
        <v>10</v>
      </c>
      <c r="E3" s="1">
        <v>7128</v>
      </c>
      <c r="G3" s="1" t="s">
        <v>17</v>
      </c>
      <c r="H3" s="1">
        <v>22366</v>
      </c>
      <c r="J3" s="1" t="s">
        <v>27</v>
      </c>
      <c r="K3" s="1">
        <v>460</v>
      </c>
      <c r="M3" s="2" t="s">
        <v>20</v>
      </c>
      <c r="N3" s="1">
        <v>2460</v>
      </c>
      <c r="P3" s="1" t="s">
        <v>44</v>
      </c>
      <c r="Q3" s="1">
        <v>11358</v>
      </c>
      <c r="S3" s="5" t="s">
        <v>48</v>
      </c>
      <c r="T3" s="1">
        <v>14770</v>
      </c>
    </row>
    <row r="4" spans="1:20" x14ac:dyDescent="0.25">
      <c r="A4" s="3" t="s">
        <v>4</v>
      </c>
      <c r="B4" s="3">
        <f>SUM(B2:B3)</f>
        <v>35744</v>
      </c>
      <c r="D4" s="1" t="s">
        <v>9</v>
      </c>
      <c r="E4" s="1">
        <v>21225</v>
      </c>
      <c r="G4" s="1" t="s">
        <v>16</v>
      </c>
      <c r="H4" s="1">
        <v>3660</v>
      </c>
      <c r="J4" s="1" t="s">
        <v>28</v>
      </c>
      <c r="K4" s="1">
        <v>827</v>
      </c>
      <c r="M4" s="2" t="s">
        <v>21</v>
      </c>
      <c r="N4" s="1">
        <v>5864</v>
      </c>
      <c r="P4" s="1" t="s">
        <v>45</v>
      </c>
      <c r="Q4" s="1">
        <v>2218</v>
      </c>
      <c r="S4" s="5" t="s">
        <v>49</v>
      </c>
      <c r="T4" s="1">
        <v>10119</v>
      </c>
    </row>
    <row r="5" spans="1:20" x14ac:dyDescent="0.25">
      <c r="D5" s="1" t="s">
        <v>8</v>
      </c>
      <c r="E5" s="1">
        <v>678</v>
      </c>
      <c r="G5" s="1" t="s">
        <v>15</v>
      </c>
      <c r="H5" s="1">
        <v>28</v>
      </c>
      <c r="J5" s="1" t="s">
        <v>29</v>
      </c>
      <c r="K5" s="1">
        <v>7581</v>
      </c>
      <c r="M5" s="2" t="s">
        <v>22</v>
      </c>
      <c r="N5" s="1">
        <v>10651</v>
      </c>
      <c r="P5" s="3"/>
      <c r="Q5" s="3">
        <f>SUM(Q1:Q4)</f>
        <v>35744</v>
      </c>
      <c r="S5" s="5" t="s">
        <v>50</v>
      </c>
      <c r="T5" s="1">
        <v>1022</v>
      </c>
    </row>
    <row r="6" spans="1:20" x14ac:dyDescent="0.25">
      <c r="D6" s="1" t="s">
        <v>7</v>
      </c>
      <c r="E6" s="1">
        <v>3174</v>
      </c>
      <c r="G6" s="3" t="s">
        <v>4</v>
      </c>
      <c r="H6" s="3">
        <f>SUM(H2:H5)</f>
        <v>35744</v>
      </c>
      <c r="J6" s="1" t="s">
        <v>30</v>
      </c>
      <c r="K6" s="1">
        <v>18429</v>
      </c>
      <c r="M6" s="2" t="s">
        <v>23</v>
      </c>
      <c r="N6" s="1">
        <v>9375</v>
      </c>
      <c r="S6" s="9"/>
      <c r="T6" s="3">
        <f>SUM(T2:T5)</f>
        <v>35744</v>
      </c>
    </row>
    <row r="7" spans="1:20" x14ac:dyDescent="0.25">
      <c r="D7" s="1" t="s">
        <v>6</v>
      </c>
      <c r="E7" s="1">
        <v>35</v>
      </c>
      <c r="J7" s="1" t="s">
        <v>31</v>
      </c>
      <c r="K7" s="1">
        <v>905</v>
      </c>
      <c r="M7" s="2" t="s">
        <v>24</v>
      </c>
      <c r="N7" s="1">
        <v>7394</v>
      </c>
    </row>
    <row r="8" spans="1:20" x14ac:dyDescent="0.25">
      <c r="D8" s="1" t="s">
        <v>5</v>
      </c>
      <c r="E8" s="1">
        <v>27</v>
      </c>
      <c r="J8" s="1" t="s">
        <v>32</v>
      </c>
      <c r="K8" s="1">
        <v>4072</v>
      </c>
      <c r="M8" s="3" t="s">
        <v>25</v>
      </c>
      <c r="N8" s="3">
        <f>SUM(N2:N7)</f>
        <v>35744</v>
      </c>
    </row>
    <row r="9" spans="1:20" x14ac:dyDescent="0.25">
      <c r="D9" s="1" t="s">
        <v>13</v>
      </c>
      <c r="E9" s="1">
        <v>2957</v>
      </c>
      <c r="J9" s="1" t="s">
        <v>81</v>
      </c>
      <c r="K9" s="1">
        <v>3408</v>
      </c>
    </row>
    <row r="10" spans="1:20" x14ac:dyDescent="0.25">
      <c r="D10" s="1" t="s">
        <v>14</v>
      </c>
      <c r="E10" s="1">
        <v>162</v>
      </c>
      <c r="J10" s="3" t="s">
        <v>4</v>
      </c>
      <c r="K10" s="3">
        <f>SUM(K2:K9)</f>
        <v>35744</v>
      </c>
    </row>
    <row r="11" spans="1:20" x14ac:dyDescent="0.25">
      <c r="D11" s="1" t="s">
        <v>12</v>
      </c>
      <c r="E11" s="1">
        <v>61</v>
      </c>
    </row>
    <row r="12" spans="1:20" x14ac:dyDescent="0.25">
      <c r="D12" s="3" t="s">
        <v>4</v>
      </c>
      <c r="E12" s="3">
        <f>SUM(E2:E11)</f>
        <v>35744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"/>
  <sheetViews>
    <sheetView workbookViewId="0">
      <selection activeCell="Q1" sqref="Q1:Q4"/>
    </sheetView>
  </sheetViews>
  <sheetFormatPr defaultRowHeight="15" x14ac:dyDescent="0.25"/>
  <cols>
    <col min="1" max="1" width="13.42578125" bestFit="1" customWidth="1"/>
    <col min="2" max="2" width="11.85546875" bestFit="1" customWidth="1"/>
    <col min="4" max="4" width="10.5703125" bestFit="1" customWidth="1"/>
    <col min="5" max="5" width="11.85546875" bestFit="1" customWidth="1"/>
    <col min="7" max="7" width="8.42578125" customWidth="1"/>
    <col min="8" max="8" width="9.85546875" customWidth="1"/>
    <col min="10" max="10" width="11.42578125" bestFit="1" customWidth="1"/>
    <col min="11" max="11" width="11.85546875" bestFit="1" customWidth="1"/>
    <col min="13" max="13" width="14.42578125" bestFit="1" customWidth="1"/>
    <col min="14" max="14" width="11.85546875" bestFit="1" customWidth="1"/>
    <col min="16" max="16" width="39" bestFit="1" customWidth="1"/>
  </cols>
  <sheetData>
    <row r="1" spans="1:17" x14ac:dyDescent="0.25">
      <c r="A1" s="1" t="s">
        <v>0</v>
      </c>
      <c r="B1" s="1" t="s">
        <v>1</v>
      </c>
      <c r="D1" s="1" t="s">
        <v>0</v>
      </c>
      <c r="E1" s="1" t="s">
        <v>1</v>
      </c>
      <c r="G1" s="1" t="s">
        <v>34</v>
      </c>
      <c r="H1" s="1" t="s">
        <v>35</v>
      </c>
      <c r="J1" s="1" t="s">
        <v>19</v>
      </c>
      <c r="K1" s="1" t="s">
        <v>1</v>
      </c>
      <c r="M1" s="1" t="s">
        <v>33</v>
      </c>
      <c r="N1" s="1" t="s">
        <v>1</v>
      </c>
      <c r="P1" s="1" t="s">
        <v>42</v>
      </c>
      <c r="Q1" s="1">
        <v>0</v>
      </c>
    </row>
    <row r="2" spans="1:17" x14ac:dyDescent="0.25">
      <c r="A2" s="1" t="s">
        <v>2</v>
      </c>
      <c r="B2" s="1">
        <v>10273</v>
      </c>
      <c r="D2" s="1" t="s">
        <v>10</v>
      </c>
      <c r="E2" s="1">
        <v>646</v>
      </c>
      <c r="G2" s="2" t="s">
        <v>20</v>
      </c>
      <c r="H2" s="1">
        <v>1098</v>
      </c>
      <c r="J2" s="1" t="s">
        <v>36</v>
      </c>
      <c r="K2" s="1">
        <v>37</v>
      </c>
      <c r="M2" s="1" t="s">
        <v>30</v>
      </c>
      <c r="N2" s="1">
        <v>17705</v>
      </c>
      <c r="P2" s="1" t="s">
        <v>43</v>
      </c>
      <c r="Q2" s="1">
        <v>4004</v>
      </c>
    </row>
    <row r="3" spans="1:17" x14ac:dyDescent="0.25">
      <c r="A3" s="1" t="s">
        <v>3</v>
      </c>
      <c r="B3" s="1">
        <v>13037</v>
      </c>
      <c r="D3" s="1" t="s">
        <v>9</v>
      </c>
      <c r="E3" s="1">
        <v>19026</v>
      </c>
      <c r="G3" s="2" t="s">
        <v>21</v>
      </c>
      <c r="H3" s="1">
        <v>12271</v>
      </c>
      <c r="J3" s="1" t="s">
        <v>37</v>
      </c>
      <c r="K3" s="1">
        <v>720</v>
      </c>
      <c r="M3" s="1" t="s">
        <v>31</v>
      </c>
      <c r="N3" s="1">
        <v>136</v>
      </c>
      <c r="P3" s="1" t="s">
        <v>44</v>
      </c>
      <c r="Q3" s="1">
        <v>18469</v>
      </c>
    </row>
    <row r="4" spans="1:17" x14ac:dyDescent="0.25">
      <c r="A4" s="3" t="s">
        <v>4</v>
      </c>
      <c r="B4" s="3">
        <f>SUM(B2:B3)</f>
        <v>23310</v>
      </c>
      <c r="D4" s="1" t="s">
        <v>8</v>
      </c>
      <c r="E4" s="1">
        <v>166</v>
      </c>
      <c r="G4" s="2" t="s">
        <v>22</v>
      </c>
      <c r="H4" s="1">
        <v>8036</v>
      </c>
      <c r="J4" s="1" t="s">
        <v>38</v>
      </c>
      <c r="K4" s="1">
        <v>19081</v>
      </c>
      <c r="M4" s="1" t="s">
        <v>32</v>
      </c>
      <c r="N4" s="1">
        <v>3151</v>
      </c>
      <c r="P4" s="1" t="s">
        <v>45</v>
      </c>
      <c r="Q4" s="1">
        <v>837</v>
      </c>
    </row>
    <row r="5" spans="1:17" x14ac:dyDescent="0.25">
      <c r="D5" s="1" t="s">
        <v>7</v>
      </c>
      <c r="E5" s="1">
        <v>2638</v>
      </c>
      <c r="G5" s="2" t="s">
        <v>23</v>
      </c>
      <c r="H5" s="1">
        <v>1400</v>
      </c>
      <c r="J5" s="1" t="s">
        <v>39</v>
      </c>
      <c r="K5" s="1">
        <v>2638</v>
      </c>
      <c r="M5" s="1" t="s">
        <v>81</v>
      </c>
      <c r="N5" s="1">
        <v>1161</v>
      </c>
      <c r="P5" s="3"/>
      <c r="Q5" s="3">
        <f>SUM(Q1:Q4)</f>
        <v>23310</v>
      </c>
    </row>
    <row r="6" spans="1:17" x14ac:dyDescent="0.25">
      <c r="D6" s="1" t="s">
        <v>13</v>
      </c>
      <c r="E6" s="1">
        <v>775</v>
      </c>
      <c r="G6" s="2" t="s">
        <v>24</v>
      </c>
      <c r="H6" s="1">
        <v>505</v>
      </c>
      <c r="J6" s="1" t="s">
        <v>40</v>
      </c>
      <c r="K6" s="1">
        <v>775</v>
      </c>
      <c r="M6" s="1" t="s">
        <v>29</v>
      </c>
      <c r="N6" s="1">
        <v>1157</v>
      </c>
    </row>
    <row r="7" spans="1:17" x14ac:dyDescent="0.25">
      <c r="D7" s="1" t="s">
        <v>12</v>
      </c>
      <c r="E7" s="1">
        <v>59</v>
      </c>
      <c r="G7" s="3" t="s">
        <v>25</v>
      </c>
      <c r="H7" s="3">
        <f>SUM(H2:H6)</f>
        <v>23310</v>
      </c>
      <c r="J7" s="1" t="s">
        <v>15</v>
      </c>
      <c r="K7" s="1">
        <v>59</v>
      </c>
      <c r="M7" s="3" t="s">
        <v>4</v>
      </c>
      <c r="N7" s="3">
        <f>SUM(N2:N6)</f>
        <v>23310</v>
      </c>
    </row>
    <row r="8" spans="1:17" x14ac:dyDescent="0.25">
      <c r="D8" s="3" t="s">
        <v>4</v>
      </c>
      <c r="E8" s="3">
        <f>SUM(E2:E7)</f>
        <v>23310</v>
      </c>
      <c r="J8" s="3" t="s">
        <v>4</v>
      </c>
      <c r="K8" s="3">
        <f>SUM(K2:K7)</f>
        <v>23310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3ABB-424B-4F8A-9D21-27EBCDE9B826}">
  <dimension ref="A1:N8"/>
  <sheetViews>
    <sheetView workbookViewId="0">
      <selection activeCell="N1" sqref="N1:N4"/>
    </sheetView>
  </sheetViews>
  <sheetFormatPr defaultRowHeight="15" x14ac:dyDescent="0.25"/>
  <cols>
    <col min="2" max="2" width="11.85546875" bestFit="1" customWidth="1"/>
    <col min="5" max="5" width="11.85546875" bestFit="1" customWidth="1"/>
    <col min="10" max="10" width="14.42578125" bestFit="1" customWidth="1"/>
    <col min="11" max="11" width="11.85546875" bestFit="1" customWidth="1"/>
    <col min="13" max="13" width="39" bestFit="1" customWidth="1"/>
  </cols>
  <sheetData>
    <row r="1" spans="1:14" x14ac:dyDescent="0.25">
      <c r="A1" s="1" t="s">
        <v>0</v>
      </c>
      <c r="B1" s="1" t="s">
        <v>1</v>
      </c>
      <c r="D1" s="1" t="s">
        <v>0</v>
      </c>
      <c r="E1" s="1" t="s">
        <v>1</v>
      </c>
      <c r="G1" s="1" t="s">
        <v>34</v>
      </c>
      <c r="H1" s="1" t="s">
        <v>35</v>
      </c>
      <c r="J1" s="1" t="s">
        <v>33</v>
      </c>
      <c r="K1" s="1" t="s">
        <v>1</v>
      </c>
      <c r="M1" s="1" t="s">
        <v>42</v>
      </c>
      <c r="N1" s="1">
        <v>0</v>
      </c>
    </row>
    <row r="2" spans="1:14" x14ac:dyDescent="0.25">
      <c r="A2" s="1" t="s">
        <v>2</v>
      </c>
      <c r="B2" s="1">
        <v>13345</v>
      </c>
      <c r="D2" s="1" t="s">
        <v>10</v>
      </c>
      <c r="E2" s="1">
        <v>80</v>
      </c>
      <c r="G2" s="2" t="s">
        <v>20</v>
      </c>
      <c r="H2" s="1">
        <v>3645</v>
      </c>
      <c r="J2" s="1" t="s">
        <v>30</v>
      </c>
      <c r="K2" s="1">
        <v>3955</v>
      </c>
      <c r="M2" s="1" t="s">
        <v>43</v>
      </c>
      <c r="N2" s="1">
        <v>3807</v>
      </c>
    </row>
    <row r="3" spans="1:14" x14ac:dyDescent="0.25">
      <c r="A3" s="1" t="s">
        <v>3</v>
      </c>
      <c r="B3" s="1">
        <v>7878</v>
      </c>
      <c r="D3" s="1" t="s">
        <v>9</v>
      </c>
      <c r="E3" s="1">
        <v>10232</v>
      </c>
      <c r="G3" s="2" t="s">
        <v>21</v>
      </c>
      <c r="H3" s="1">
        <v>9858</v>
      </c>
      <c r="J3" s="1" t="s">
        <v>31</v>
      </c>
      <c r="K3" s="1">
        <v>2</v>
      </c>
      <c r="M3" s="1" t="s">
        <v>44</v>
      </c>
      <c r="N3" s="1">
        <v>14156</v>
      </c>
    </row>
    <row r="4" spans="1:14" x14ac:dyDescent="0.25">
      <c r="A4" s="3" t="s">
        <v>4</v>
      </c>
      <c r="B4" s="3">
        <f>SUM(B2:B3)</f>
        <v>21223</v>
      </c>
      <c r="D4" s="1" t="s">
        <v>8</v>
      </c>
      <c r="E4" s="1">
        <v>124</v>
      </c>
      <c r="G4" s="2" t="s">
        <v>22</v>
      </c>
      <c r="H4" s="1">
        <v>5766</v>
      </c>
      <c r="J4" s="1" t="s">
        <v>32</v>
      </c>
      <c r="K4" s="1">
        <v>397</v>
      </c>
      <c r="M4" s="1" t="s">
        <v>45</v>
      </c>
      <c r="N4" s="1">
        <v>3260</v>
      </c>
    </row>
    <row r="5" spans="1:14" x14ac:dyDescent="0.25">
      <c r="D5" s="1" t="s">
        <v>7</v>
      </c>
      <c r="E5" s="1">
        <v>931</v>
      </c>
      <c r="G5" s="2" t="s">
        <v>23</v>
      </c>
      <c r="H5" s="1">
        <v>1542</v>
      </c>
      <c r="J5" s="1" t="s">
        <v>29</v>
      </c>
      <c r="K5" s="1">
        <v>16869</v>
      </c>
      <c r="M5" s="3"/>
      <c r="N5" s="3">
        <f>SUM(N1:N4)</f>
        <v>21223</v>
      </c>
    </row>
    <row r="6" spans="1:14" x14ac:dyDescent="0.25">
      <c r="D6" s="1" t="s">
        <v>13</v>
      </c>
      <c r="E6" s="1">
        <v>9255</v>
      </c>
      <c r="G6" s="2" t="s">
        <v>24</v>
      </c>
      <c r="H6" s="1">
        <v>412</v>
      </c>
      <c r="J6" s="3" t="s">
        <v>4</v>
      </c>
      <c r="K6" s="3">
        <f>SUM(K2:K5)</f>
        <v>21223</v>
      </c>
    </row>
    <row r="7" spans="1:14" x14ac:dyDescent="0.25">
      <c r="D7" s="1" t="s">
        <v>12</v>
      </c>
      <c r="E7" s="1">
        <v>601</v>
      </c>
      <c r="G7" s="3" t="s">
        <v>25</v>
      </c>
      <c r="H7" s="3">
        <f>SUM(H2:H6)</f>
        <v>21223</v>
      </c>
    </row>
    <row r="8" spans="1:14" x14ac:dyDescent="0.25">
      <c r="D8" s="3" t="s">
        <v>4</v>
      </c>
      <c r="E8" s="3">
        <f>SUM(E2:E7)</f>
        <v>21223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H26" sqref="H26"/>
    </sheetView>
  </sheetViews>
  <sheetFormatPr defaultRowHeight="15" x14ac:dyDescent="0.25"/>
  <cols>
    <col min="1" max="1" width="13.42578125" bestFit="1" customWidth="1"/>
    <col min="4" max="4" width="16.42578125" bestFit="1" customWidth="1"/>
    <col min="7" max="7" width="18.28515625" customWidth="1"/>
  </cols>
  <sheetData>
    <row r="1" spans="1:8" x14ac:dyDescent="0.25">
      <c r="A1" s="1" t="s">
        <v>84</v>
      </c>
      <c r="B1" s="1">
        <v>105</v>
      </c>
      <c r="D1" s="3" t="s">
        <v>51</v>
      </c>
      <c r="E1" s="3"/>
      <c r="G1" s="3" t="s">
        <v>63</v>
      </c>
      <c r="H1" s="3"/>
    </row>
    <row r="2" spans="1:8" x14ac:dyDescent="0.25">
      <c r="A2" s="1" t="s">
        <v>86</v>
      </c>
      <c r="B2" s="1">
        <v>17</v>
      </c>
      <c r="D2" s="1" t="s">
        <v>52</v>
      </c>
      <c r="E2" s="1">
        <v>1</v>
      </c>
      <c r="G2" s="1" t="s">
        <v>16</v>
      </c>
      <c r="H2" s="1">
        <v>6</v>
      </c>
    </row>
    <row r="3" spans="1:8" x14ac:dyDescent="0.25">
      <c r="A3" s="1" t="s">
        <v>85</v>
      </c>
      <c r="B3" s="1">
        <v>14</v>
      </c>
      <c r="D3" s="1" t="s">
        <v>53</v>
      </c>
      <c r="E3" s="1">
        <v>4</v>
      </c>
      <c r="G3" s="1" t="s">
        <v>17</v>
      </c>
      <c r="H3" s="1">
        <v>80</v>
      </c>
    </row>
    <row r="4" spans="1:8" x14ac:dyDescent="0.25">
      <c r="A4" s="1"/>
      <c r="B4" s="1">
        <f>SUM(B1:B3)</f>
        <v>136</v>
      </c>
      <c r="D4" s="1" t="s">
        <v>80</v>
      </c>
      <c r="E4" s="1">
        <v>1</v>
      </c>
      <c r="G4" s="1" t="s">
        <v>18</v>
      </c>
      <c r="H4" s="1">
        <v>19</v>
      </c>
    </row>
    <row r="5" spans="1:8" x14ac:dyDescent="0.25">
      <c r="D5" s="1" t="s">
        <v>54</v>
      </c>
      <c r="E5" s="1">
        <v>5</v>
      </c>
      <c r="G5" s="1"/>
      <c r="H5" s="1">
        <f>SUM(H2:H4)</f>
        <v>105</v>
      </c>
    </row>
    <row r="6" spans="1:8" x14ac:dyDescent="0.25">
      <c r="D6" s="1"/>
      <c r="E6" s="1">
        <f>SUM(E2:E5)</f>
        <v>11</v>
      </c>
    </row>
    <row r="9" spans="1:8" x14ac:dyDescent="0.25">
      <c r="A9" s="3" t="s">
        <v>67</v>
      </c>
      <c r="B9" s="3"/>
      <c r="D9" s="3" t="s">
        <v>68</v>
      </c>
      <c r="E9" s="3"/>
      <c r="G9" s="3" t="s">
        <v>88</v>
      </c>
      <c r="H9" s="3"/>
    </row>
    <row r="10" spans="1:8" x14ac:dyDescent="0.25">
      <c r="A10" s="1" t="s">
        <v>57</v>
      </c>
      <c r="B10" s="1">
        <v>11</v>
      </c>
      <c r="D10" s="1" t="s">
        <v>59</v>
      </c>
      <c r="E10" s="1">
        <v>31</v>
      </c>
      <c r="G10" s="1" t="s">
        <v>38</v>
      </c>
      <c r="H10" s="1">
        <v>12</v>
      </c>
    </row>
    <row r="11" spans="1:8" x14ac:dyDescent="0.25">
      <c r="A11" s="1" t="s">
        <v>58</v>
      </c>
      <c r="B11" s="1">
        <v>55</v>
      </c>
      <c r="D11" s="1" t="s">
        <v>60</v>
      </c>
      <c r="E11" s="1">
        <v>77</v>
      </c>
      <c r="G11" s="1" t="s">
        <v>39</v>
      </c>
      <c r="H11" s="1">
        <v>1</v>
      </c>
    </row>
    <row r="12" spans="1:8" x14ac:dyDescent="0.25">
      <c r="A12" s="1" t="s">
        <v>29</v>
      </c>
      <c r="B12" s="1">
        <v>70</v>
      </c>
      <c r="D12" s="1" t="s">
        <v>61</v>
      </c>
      <c r="E12" s="1">
        <v>7</v>
      </c>
      <c r="G12" s="1" t="s">
        <v>40</v>
      </c>
      <c r="H12" s="1">
        <v>3</v>
      </c>
    </row>
    <row r="13" spans="1:8" x14ac:dyDescent="0.25">
      <c r="A13" s="1"/>
      <c r="B13" s="1">
        <f>SUM(B10:B12)</f>
        <v>136</v>
      </c>
      <c r="D13" s="1" t="s">
        <v>62</v>
      </c>
      <c r="E13" s="1">
        <v>7</v>
      </c>
      <c r="G13" s="1" t="s">
        <v>15</v>
      </c>
      <c r="H13" s="1">
        <v>1</v>
      </c>
    </row>
    <row r="14" spans="1:8" x14ac:dyDescent="0.25">
      <c r="D14" s="1" t="s">
        <v>13</v>
      </c>
      <c r="E14" s="1">
        <v>13</v>
      </c>
      <c r="G14" s="1"/>
      <c r="H14" s="1">
        <f>SUM(H10:H13)</f>
        <v>17</v>
      </c>
    </row>
    <row r="15" spans="1:8" x14ac:dyDescent="0.25">
      <c r="D15" s="13" t="s">
        <v>12</v>
      </c>
      <c r="E15" s="13">
        <v>1</v>
      </c>
    </row>
    <row r="16" spans="1:8" x14ac:dyDescent="0.25">
      <c r="D16" s="1"/>
      <c r="E16" s="1">
        <f>SUM(E10:E15)</f>
        <v>136</v>
      </c>
    </row>
    <row r="18" spans="1:9" ht="30" x14ac:dyDescent="0.25">
      <c r="A18" s="7" t="s">
        <v>64</v>
      </c>
      <c r="B18" s="7"/>
      <c r="C18" s="6"/>
      <c r="D18" s="7" t="s">
        <v>66</v>
      </c>
      <c r="E18" s="7"/>
      <c r="F18" s="6"/>
      <c r="G18" s="8" t="s">
        <v>65</v>
      </c>
      <c r="H18" s="7"/>
      <c r="I18" s="6"/>
    </row>
    <row r="19" spans="1:9" x14ac:dyDescent="0.25">
      <c r="A19" s="1" t="s">
        <v>69</v>
      </c>
      <c r="B19" s="1">
        <v>128</v>
      </c>
      <c r="D19" s="1" t="s">
        <v>55</v>
      </c>
      <c r="E19" s="1">
        <v>59</v>
      </c>
      <c r="G19" s="1" t="s">
        <v>73</v>
      </c>
      <c r="H19" s="1">
        <v>1</v>
      </c>
    </row>
    <row r="20" spans="1:9" x14ac:dyDescent="0.25">
      <c r="A20" s="1" t="s">
        <v>70</v>
      </c>
      <c r="B20" s="1">
        <v>1</v>
      </c>
      <c r="D20" s="1" t="s">
        <v>56</v>
      </c>
      <c r="E20" s="1">
        <v>77</v>
      </c>
      <c r="G20" s="1" t="s">
        <v>74</v>
      </c>
      <c r="H20" s="1">
        <v>9</v>
      </c>
    </row>
    <row r="21" spans="1:9" x14ac:dyDescent="0.25">
      <c r="A21" s="1" t="s">
        <v>71</v>
      </c>
      <c r="B21" s="1">
        <v>5</v>
      </c>
      <c r="D21" s="1"/>
      <c r="E21" s="1">
        <f>SUM(E19:E20)</f>
        <v>136</v>
      </c>
      <c r="G21" s="1" t="s">
        <v>75</v>
      </c>
      <c r="H21" s="1">
        <v>12</v>
      </c>
    </row>
    <row r="22" spans="1:9" x14ac:dyDescent="0.25">
      <c r="A22" s="1" t="s">
        <v>72</v>
      </c>
      <c r="B22" s="1">
        <v>2</v>
      </c>
      <c r="G22" s="1" t="s">
        <v>76</v>
      </c>
      <c r="H22" s="1">
        <v>28</v>
      </c>
    </row>
    <row r="23" spans="1:9" x14ac:dyDescent="0.25">
      <c r="A23" s="1"/>
      <c r="B23" s="1">
        <f>SUM(B19:B22)</f>
        <v>136</v>
      </c>
      <c r="G23" s="1" t="s">
        <v>77</v>
      </c>
      <c r="H23" s="1">
        <v>1</v>
      </c>
    </row>
    <row r="24" spans="1:9" x14ac:dyDescent="0.25">
      <c r="G24" s="1" t="s">
        <v>78</v>
      </c>
      <c r="H24" s="1">
        <v>3</v>
      </c>
    </row>
    <row r="25" spans="1:9" x14ac:dyDescent="0.25">
      <c r="G25" s="1" t="s">
        <v>79</v>
      </c>
      <c r="H25" s="1">
        <v>1</v>
      </c>
    </row>
    <row r="26" spans="1:9" x14ac:dyDescent="0.25">
      <c r="G26" s="1"/>
      <c r="H26" s="1">
        <f>SUM(H19:H25)</f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ASN</vt:lpstr>
      <vt:lpstr>PNS</vt:lpstr>
      <vt:lpstr>PPPK full</vt:lpstr>
      <vt:lpstr>PPPK PW</vt:lpstr>
      <vt:lpstr>BKD JATIM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rajmabkd</cp:lastModifiedBy>
  <dcterms:created xsi:type="dcterms:W3CDTF">2024-10-31T05:01:24Z</dcterms:created>
  <dcterms:modified xsi:type="dcterms:W3CDTF">2026-08-03T07:20:13Z</dcterms:modified>
</cp:coreProperties>
</file>